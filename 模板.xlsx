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MSLiu\Desktop\Kmnix\2026\07\"/>
    </mc:Choice>
  </mc:AlternateContent>
  <xr:revisionPtr revIDLastSave="0" documentId="13_ncr:1_{D2DA23E5-3569-4342-83AE-9613E510DD49}" xr6:coauthVersionLast="47" xr6:coauthVersionMax="47" xr10:uidLastSave="{00000000-0000-0000-0000-000000000000}"/>
  <bookViews>
    <workbookView xWindow="9220" yWindow="2730" windowWidth="25760" windowHeight="17670" xr2:uid="{00000000-000D-0000-FFFF-FFFF00000000}"/>
  </bookViews>
  <sheets>
    <sheet name="Sheet1" sheetId="1" r:id="rId1"/>
    <sheet name="Sheet2" sheetId="2" r:id="rId2"/>
    <sheet name="Sheet3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" i="1" l="1"/>
  <c r="O8" i="1"/>
  <c r="O7" i="1"/>
  <c r="O5" i="1"/>
  <c r="O4" i="1"/>
  <c r="O3" i="1"/>
  <c r="O9" i="1"/>
  <c r="O10" i="1"/>
</calcChain>
</file>

<file path=xl/sharedStrings.xml><?xml version="1.0" encoding="utf-8"?>
<sst xmlns="http://schemas.openxmlformats.org/spreadsheetml/2006/main" count="41" uniqueCount="28">
  <si>
    <t>序号</t>
  </si>
  <si>
    <t>计费时间</t>
  </si>
  <si>
    <t>宽带</t>
  </si>
  <si>
    <t>宽带单价</t>
  </si>
  <si>
    <t>A端IP</t>
  </si>
  <si>
    <t>IP单价</t>
  </si>
  <si>
    <t>A端托管</t>
  </si>
  <si>
    <t>A端机器租用</t>
  </si>
  <si>
    <t>B端IP</t>
  </si>
  <si>
    <t>B端IP单价</t>
  </si>
  <si>
    <t>B端机器租用</t>
  </si>
  <si>
    <t>B端机器托管</t>
  </si>
  <si>
    <t>合计</t>
  </si>
  <si>
    <t>备注</t>
  </si>
  <si>
    <t>-</t>
  </si>
  <si>
    <t>华为BGP 3段</t>
  </si>
  <si>
    <t>收款信息：</t>
  </si>
  <si>
    <t>付款信息：</t>
  </si>
  <si>
    <t>IX IP</t>
    <phoneticPr fontId="3" type="noConversion"/>
  </si>
  <si>
    <t>香港租用</t>
    <phoneticPr fontId="3" type="noConversion"/>
  </si>
  <si>
    <t>传输</t>
    <phoneticPr fontId="3" type="noConversion"/>
  </si>
  <si>
    <t>阿里移动</t>
    <phoneticPr fontId="3" type="noConversion"/>
  </si>
  <si>
    <t>阿里联通</t>
    <phoneticPr fontId="3" type="noConversion"/>
  </si>
  <si>
    <t>阿里电信</t>
    <phoneticPr fontId="3" type="noConversion"/>
  </si>
  <si>
    <t>业务合作对账单(2026.07）</t>
    <phoneticPr fontId="3" type="noConversion"/>
  </si>
  <si>
    <t>读取LNMS</t>
    <phoneticPr fontId="3" type="noConversion"/>
  </si>
  <si>
    <t>公司名称：
纳税人识别号：
地址：
电话：
开户行：
银行账号：</t>
    <phoneticPr fontId="3" type="noConversion"/>
  </si>
  <si>
    <t>公司名称：
企业税号：
企业地址：
开户银行：
银行账号：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</si>
</sst>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￥&quot;#,##0.00;&quot;￥&quot;\-#,##0.00"/>
    <numFmt numFmtId="177" formatCode="0.00_ "/>
    <numFmt numFmtId="178" formatCode="0_ "/>
  </numFmts>
  <fonts count="4" x14ac:knownFonts="1">
    <font>
      <sz val="11"/>
      <color theme="1"/>
      <name val="宋体"/>
      <charset val="134"/>
      <scheme val="minor"/>
    </font>
    <font>
      <b/>
      <sz val="18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49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31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7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3"/>
  <sheetViews>
    <sheetView tabSelected="1" zoomScale="85" zoomScaleNormal="85" workbookViewId="0">
      <selection activeCell="H13" sqref="H13:P13"/>
    </sheetView>
  </sheetViews>
  <sheetFormatPr defaultColWidth="12.54296875" defaultRowHeight="14" x14ac:dyDescent="0.25"/>
  <cols>
    <col min="1" max="1" width="9.453125" customWidth="1"/>
    <col min="2" max="2" width="14.90625" style="3" customWidth="1"/>
    <col min="3" max="3" width="4.1796875" customWidth="1"/>
    <col min="4" max="4" width="15.453125" customWidth="1"/>
    <col min="5" max="8" width="12.54296875" customWidth="1"/>
    <col min="9" max="9" width="10" customWidth="1"/>
    <col min="10" max="10" width="12.54296875" customWidth="1"/>
    <col min="11" max="11" width="9.6328125" customWidth="1"/>
    <col min="12" max="12" width="10" customWidth="1"/>
    <col min="13" max="14" width="12.54296875" customWidth="1"/>
    <col min="15" max="15" width="19.81640625" customWidth="1"/>
    <col min="16" max="16" width="27.6328125" style="4" customWidth="1"/>
    <col min="17" max="16382" width="12.54296875" customWidth="1"/>
  </cols>
  <sheetData>
    <row r="1" spans="1:18" ht="53" customHeight="1" x14ac:dyDescent="0.25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8" s="1" customFormat="1" ht="30" customHeight="1" x14ac:dyDescent="0.25">
      <c r="A2" s="5" t="s">
        <v>0</v>
      </c>
      <c r="B2" s="19" t="s">
        <v>1</v>
      </c>
      <c r="C2" s="19"/>
      <c r="D2" s="19"/>
      <c r="E2" s="5" t="s">
        <v>2</v>
      </c>
      <c r="F2" s="5" t="s">
        <v>3</v>
      </c>
      <c r="G2" s="5" t="s">
        <v>4</v>
      </c>
      <c r="H2" s="5" t="s">
        <v>5</v>
      </c>
      <c r="I2" s="5" t="s">
        <v>6</v>
      </c>
      <c r="J2" s="5" t="s">
        <v>7</v>
      </c>
      <c r="K2" s="5" t="s">
        <v>8</v>
      </c>
      <c r="L2" s="5" t="s">
        <v>9</v>
      </c>
      <c r="M2" s="5" t="s">
        <v>10</v>
      </c>
      <c r="N2" s="5" t="s">
        <v>11</v>
      </c>
      <c r="O2" s="5" t="s">
        <v>12</v>
      </c>
      <c r="P2" s="5" t="s">
        <v>13</v>
      </c>
    </row>
    <row r="3" spans="1:18" s="1" customFormat="1" ht="30" customHeight="1" x14ac:dyDescent="0.25">
      <c r="A3" s="5">
        <v>1</v>
      </c>
      <c r="B3" s="6">
        <v>46174</v>
      </c>
      <c r="C3" s="6" t="s">
        <v>14</v>
      </c>
      <c r="D3" s="6">
        <v>46203</v>
      </c>
      <c r="E3" s="13" t="s">
        <v>25</v>
      </c>
      <c r="F3" s="7">
        <v>43.5</v>
      </c>
      <c r="G3" s="14">
        <v>8</v>
      </c>
      <c r="H3" s="7">
        <v>50</v>
      </c>
      <c r="I3" s="7"/>
      <c r="J3" s="7"/>
      <c r="K3" s="7"/>
      <c r="L3" s="7"/>
      <c r="M3" s="7"/>
      <c r="N3" s="7"/>
      <c r="O3" s="9" t="e">
        <f>(E3*F3)+G3*H3+K3*L3+N3</f>
        <v>#VALUE!</v>
      </c>
      <c r="P3" s="5" t="s">
        <v>15</v>
      </c>
      <c r="R3" s="11"/>
    </row>
    <row r="4" spans="1:18" s="1" customFormat="1" ht="30" customHeight="1" x14ac:dyDescent="0.25">
      <c r="A4" s="5">
        <v>2</v>
      </c>
      <c r="B4" s="6">
        <v>46174</v>
      </c>
      <c r="C4" s="5" t="s">
        <v>14</v>
      </c>
      <c r="D4" s="6">
        <v>46203</v>
      </c>
      <c r="E4" s="13" t="s">
        <v>25</v>
      </c>
      <c r="F4" s="7">
        <v>8.5</v>
      </c>
      <c r="G4" s="14">
        <v>12</v>
      </c>
      <c r="H4" s="7">
        <v>50</v>
      </c>
      <c r="I4" s="7"/>
      <c r="J4" s="7"/>
      <c r="K4" s="7"/>
      <c r="L4" s="7"/>
      <c r="M4" s="7"/>
      <c r="N4" s="7"/>
      <c r="O4" s="9" t="e">
        <f>(E4*F4)+G4*H4+K4*L4+N4</f>
        <v>#VALUE!</v>
      </c>
      <c r="P4" s="12" t="s">
        <v>21</v>
      </c>
      <c r="R4" s="11"/>
    </row>
    <row r="5" spans="1:18" s="1" customFormat="1" ht="30" customHeight="1" x14ac:dyDescent="0.25">
      <c r="A5" s="5">
        <v>3</v>
      </c>
      <c r="B5" s="6">
        <v>46174</v>
      </c>
      <c r="C5" s="5" t="s">
        <v>14</v>
      </c>
      <c r="D5" s="6">
        <v>46203</v>
      </c>
      <c r="E5" s="13" t="s">
        <v>25</v>
      </c>
      <c r="F5" s="13">
        <v>11</v>
      </c>
      <c r="G5" s="14">
        <v>8</v>
      </c>
      <c r="H5" s="7">
        <v>50</v>
      </c>
      <c r="I5" s="7"/>
      <c r="J5" s="7"/>
      <c r="K5" s="7"/>
      <c r="L5" s="7"/>
      <c r="M5" s="7"/>
      <c r="N5" s="7"/>
      <c r="O5" s="9" t="e">
        <f>(E5*F5+G5*H5+K5*L5+N5)</f>
        <v>#VALUE!</v>
      </c>
      <c r="P5" s="12" t="s">
        <v>22</v>
      </c>
      <c r="R5" s="11"/>
    </row>
    <row r="6" spans="1:18" s="1" customFormat="1" ht="30" customHeight="1" x14ac:dyDescent="0.25">
      <c r="A6" s="5">
        <v>4</v>
      </c>
      <c r="B6" s="6">
        <v>46174</v>
      </c>
      <c r="C6" s="5" t="s">
        <v>14</v>
      </c>
      <c r="D6" s="6">
        <v>46203</v>
      </c>
      <c r="E6" s="13" t="s">
        <v>25</v>
      </c>
      <c r="F6" s="13">
        <v>11</v>
      </c>
      <c r="G6" s="14">
        <v>32</v>
      </c>
      <c r="H6" s="7">
        <v>50</v>
      </c>
      <c r="I6" s="7"/>
      <c r="J6" s="7"/>
      <c r="K6" s="7"/>
      <c r="L6" s="7"/>
      <c r="M6" s="7"/>
      <c r="N6" s="7"/>
      <c r="O6" s="9" t="e">
        <f>(E6*F6+G6*H6+K6*L6+N6)</f>
        <v>#VALUE!</v>
      </c>
      <c r="P6" s="12" t="s">
        <v>23</v>
      </c>
      <c r="R6" s="11"/>
    </row>
    <row r="7" spans="1:18" s="1" customFormat="1" ht="30" customHeight="1" x14ac:dyDescent="0.25">
      <c r="A7" s="5">
        <v>5</v>
      </c>
      <c r="B7" s="6">
        <v>46174</v>
      </c>
      <c r="C7" s="5" t="s">
        <v>14</v>
      </c>
      <c r="D7" s="6">
        <v>46203</v>
      </c>
      <c r="E7" s="13" t="s">
        <v>25</v>
      </c>
      <c r="F7" s="13">
        <v>3.5</v>
      </c>
      <c r="G7" s="14"/>
      <c r="H7" s="7"/>
      <c r="I7" s="7"/>
      <c r="J7" s="7"/>
      <c r="K7" s="7"/>
      <c r="L7" s="7"/>
      <c r="M7" s="7"/>
      <c r="N7" s="7"/>
      <c r="O7" s="9" t="e">
        <f>((E7*F7)+G7*H7+K7*L7+N7)</f>
        <v>#VALUE!</v>
      </c>
      <c r="P7" s="12" t="s">
        <v>20</v>
      </c>
      <c r="R7" s="11"/>
    </row>
    <row r="8" spans="1:18" s="1" customFormat="1" ht="30" customHeight="1" x14ac:dyDescent="0.25">
      <c r="A8" s="5">
        <v>6</v>
      </c>
      <c r="B8" s="6">
        <v>46174</v>
      </c>
      <c r="C8" s="5" t="s">
        <v>14</v>
      </c>
      <c r="D8" s="6">
        <v>46203</v>
      </c>
      <c r="E8" s="13" t="s">
        <v>25</v>
      </c>
      <c r="F8" s="13"/>
      <c r="G8" s="14">
        <v>384</v>
      </c>
      <c r="H8" s="7">
        <v>7</v>
      </c>
      <c r="I8" s="7"/>
      <c r="J8" s="7">
        <v>3750</v>
      </c>
      <c r="K8" s="7"/>
      <c r="L8" s="7"/>
      <c r="M8" s="7"/>
      <c r="N8" s="7"/>
      <c r="O8" s="9" t="e">
        <f>(E8*F8)+J8+G8*H8+K8*L8+N8</f>
        <v>#VALUE!</v>
      </c>
      <c r="P8" s="12" t="s">
        <v>18</v>
      </c>
      <c r="R8" s="11"/>
    </row>
    <row r="9" spans="1:18" s="1" customFormat="1" ht="30" customHeight="1" x14ac:dyDescent="0.25">
      <c r="A9" s="5">
        <v>7</v>
      </c>
      <c r="B9" s="6">
        <v>46174</v>
      </c>
      <c r="C9" s="5" t="s">
        <v>14</v>
      </c>
      <c r="D9" s="6">
        <v>46203</v>
      </c>
      <c r="E9" s="13" t="s">
        <v>25</v>
      </c>
      <c r="F9" s="7"/>
      <c r="G9" s="7"/>
      <c r="H9" s="7"/>
      <c r="I9" s="7"/>
      <c r="J9" s="7"/>
      <c r="K9" s="7"/>
      <c r="L9" s="7"/>
      <c r="M9" s="7"/>
      <c r="N9" s="7">
        <v>1000</v>
      </c>
      <c r="O9" s="9" t="e">
        <f>E9*F9+G9*H9+K9*L9+N9</f>
        <v>#VALUE!</v>
      </c>
      <c r="P9" s="12" t="s">
        <v>19</v>
      </c>
      <c r="R9" s="11"/>
    </row>
    <row r="10" spans="1:18" s="1" customFormat="1" ht="30" customHeight="1" x14ac:dyDescent="0.25">
      <c r="A10" s="20" t="s">
        <v>12</v>
      </c>
      <c r="B10" s="19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9" t="e">
        <f>SUM(O3:O9)</f>
        <v>#VALUE!</v>
      </c>
      <c r="P10" s="10"/>
      <c r="R10" s="11"/>
    </row>
    <row r="11" spans="1:18" s="1" customFormat="1" ht="22" customHeight="1" x14ac:dyDescent="0.25">
      <c r="B11" s="8"/>
      <c r="P11" s="4"/>
    </row>
    <row r="12" spans="1:18" s="1" customFormat="1" ht="22" customHeight="1" x14ac:dyDescent="0.25">
      <c r="A12" s="21" t="s">
        <v>16</v>
      </c>
      <c r="B12" s="21"/>
      <c r="C12" s="21"/>
      <c r="D12" s="21"/>
      <c r="E12" s="21"/>
      <c r="F12" s="21"/>
      <c r="G12" s="21"/>
      <c r="H12" s="21" t="s">
        <v>17</v>
      </c>
      <c r="I12" s="21"/>
      <c r="J12" s="21"/>
      <c r="K12" s="21"/>
      <c r="L12" s="21"/>
      <c r="M12" s="21"/>
      <c r="N12" s="21"/>
      <c r="O12" s="21"/>
      <c r="P12" s="21"/>
    </row>
    <row r="13" spans="1:18" s="2" customFormat="1" ht="112" customHeight="1" x14ac:dyDescent="0.25">
      <c r="A13" s="15" t="s">
        <v>26</v>
      </c>
      <c r="B13" s="16"/>
      <c r="C13" s="16"/>
      <c r="D13" s="16"/>
      <c r="E13" s="16"/>
      <c r="F13" s="16"/>
      <c r="G13" s="16"/>
      <c r="H13" s="22" t="s">
        <v>27</v>
      </c>
      <c r="I13" s="17"/>
      <c r="J13" s="17"/>
      <c r="K13" s="17"/>
      <c r="L13" s="17"/>
      <c r="M13" s="17"/>
      <c r="N13" s="17"/>
      <c r="O13" s="17"/>
      <c r="P13" s="17"/>
    </row>
  </sheetData>
  <mergeCells count="7">
    <mergeCell ref="A13:G13"/>
    <mergeCell ref="H13:P13"/>
    <mergeCell ref="A1:P1"/>
    <mergeCell ref="B2:D2"/>
    <mergeCell ref="A10:N10"/>
    <mergeCell ref="A12:G12"/>
    <mergeCell ref="H12:P12"/>
  </mergeCells>
  <phoneticPr fontId="3" type="noConversion"/>
  <pageMargins left="1.45625" right="0.750694444444444" top="0.40902777777777799" bottom="1" header="0.5" footer="0.5"/>
  <pageSetup paperSize="9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MSLiu</dc:creator>
  <cp:lastModifiedBy>Xie Yi</cp:lastModifiedBy>
  <cp:lastPrinted>2026-08-03T05:06:47Z</cp:lastPrinted>
  <dcterms:created xsi:type="dcterms:W3CDTF">2023-05-12T11:15:00Z</dcterms:created>
  <dcterms:modified xsi:type="dcterms:W3CDTF">2026-08-26T08:24:04Z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8F0C9E0488C94EE7A45DF7BD2EB18FC7_13</vt:lpwstr>
  </property>
</Properties>
</file>